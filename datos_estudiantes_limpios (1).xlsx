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A Dataset datos_estudiantes.cs" sheetId="1" r:id="rId5"/>
    <sheet state="visible" name="Leyenda" sheetId="2" r:id="rId6"/>
    <sheet state="visible" name="Dim_Estudiante" sheetId="3" r:id="rId7"/>
    <sheet state="visible" name="Dim_Materia" sheetId="4" r:id="rId8"/>
    <sheet state="visible" name="Dim_Docente" sheetId="5" r:id="rId9"/>
    <sheet state="visible" name="Dim_Programa" sheetId="6" r:id="rId10"/>
    <sheet state="visible" name="Dim_Periodo" sheetId="7" r:id="rId11"/>
    <sheet state="visible" name="Hechos_Calificaciones" sheetId="8" r:id="rId12"/>
  </sheets>
  <definedNames/>
  <calcPr/>
</workbook>
</file>

<file path=xl/sharedStrings.xml><?xml version="1.0" encoding="utf-8"?>
<sst xmlns="http://schemas.openxmlformats.org/spreadsheetml/2006/main" count="251" uniqueCount="96">
  <si>
    <t>id_estudiante</t>
  </si>
  <si>
    <t>Esquema de Data Warehouse – Análisis Académico Institucional</t>
  </si>
  <si>
    <t>id_materia</t>
  </si>
  <si>
    <t>nombre_estudiante</t>
  </si>
  <si>
    <t>Hoja</t>
  </si>
  <si>
    <t>sexo</t>
  </si>
  <si>
    <t>nombre_materia</t>
  </si>
  <si>
    <t>edad</t>
  </si>
  <si>
    <t>municipio</t>
  </si>
  <si>
    <t>area_conocimiento</t>
  </si>
  <si>
    <t>bachillerato_procedencia</t>
  </si>
  <si>
    <t>tipo_materia</t>
  </si>
  <si>
    <t>id_docente</t>
  </si>
  <si>
    <t>nombre_docente</t>
  </si>
  <si>
    <t>Tipo de tabla</t>
  </si>
  <si>
    <t>formacion_docente</t>
  </si>
  <si>
    <t>antiguedad_docente</t>
  </si>
  <si>
    <t>Llave</t>
  </si>
  <si>
    <t>id_programa</t>
  </si>
  <si>
    <t>Color</t>
  </si>
  <si>
    <t>nombre_programa</t>
  </si>
  <si>
    <t>M101</t>
  </si>
  <si>
    <t>E001</t>
  </si>
  <si>
    <t>Ana Pérez</t>
  </si>
  <si>
    <t>F</t>
  </si>
  <si>
    <t>Chihuahua</t>
  </si>
  <si>
    <t>CETis 22</t>
  </si>
  <si>
    <t>E002</t>
  </si>
  <si>
    <t>Carlos Ruiz</t>
  </si>
  <si>
    <t>M</t>
  </si>
  <si>
    <t>Juárez</t>
  </si>
  <si>
    <t>CBTis 128</t>
  </si>
  <si>
    <t>E003</t>
  </si>
  <si>
    <t>nivel_programa</t>
  </si>
  <si>
    <t>Diana Ríos</t>
  </si>
  <si>
    <t>modalidad_programa</t>
  </si>
  <si>
    <t>id_periodo</t>
  </si>
  <si>
    <t>Matemáticas Discretas</t>
  </si>
  <si>
    <t>anio</t>
  </si>
  <si>
    <t>Matemáticas</t>
  </si>
  <si>
    <t>Delicias</t>
  </si>
  <si>
    <t>Obligatoria</t>
  </si>
  <si>
    <t>COBACH 3</t>
  </si>
  <si>
    <t>semestre</t>
  </si>
  <si>
    <t>Descripción</t>
  </si>
  <si>
    <t>M102</t>
  </si>
  <si>
    <t>fecha_inicio</t>
  </si>
  <si>
    <t>Programación I</t>
  </si>
  <si>
    <t>Computación</t>
  </si>
  <si>
    <t>fecha_fin</t>
  </si>
  <si>
    <t>E004</t>
  </si>
  <si>
    <t>calificacion_final</t>
  </si>
  <si>
    <t>M103</t>
  </si>
  <si>
    <t>Erick Salas</t>
  </si>
  <si>
    <t>Física I</t>
  </si>
  <si>
    <t>Ciencias</t>
  </si>
  <si>
    <t>asistencia_pct</t>
  </si>
  <si>
    <t>Hechos_Calificaciones</t>
  </si>
  <si>
    <t>Parral</t>
  </si>
  <si>
    <t>CONALEP</t>
  </si>
  <si>
    <t>Tabla de HECHOS</t>
  </si>
  <si>
    <t>id_hecho</t>
  </si>
  <si>
    <t>D001</t>
  </si>
  <si>
    <t>Mario López</t>
  </si>
  <si>
    <t>Maestría</t>
  </si>
  <si>
    <t>P01</t>
  </si>
  <si>
    <t>Ingeniería en Sistemas</t>
  </si>
  <si>
    <t>Licenciatura</t>
  </si>
  <si>
    <t>Calificación final y % de asistencia por estudiante, materia, docente, programa y periodo; incluye Estado_Aprobacion (columna calculada)</t>
  </si>
  <si>
    <t>Escolarizado</t>
  </si>
  <si>
    <t>P2021_1</t>
  </si>
  <si>
    <t>Dim_Estudiante</t>
  </si>
  <si>
    <t>Dimensión</t>
  </si>
  <si>
    <t>Datos del alumno: sexo, edad, municipio y bachillerato de procedencia</t>
  </si>
  <si>
    <t>Dim_Materia</t>
  </si>
  <si>
    <t>D002</t>
  </si>
  <si>
    <t>Nombre, área de conocimiento y tipo de materia</t>
  </si>
  <si>
    <t>Laura Gómez</t>
  </si>
  <si>
    <t>Dim_Docente</t>
  </si>
  <si>
    <t>Nombre, formación y antigüedad del docente</t>
  </si>
  <si>
    <t>Dim_Programa</t>
  </si>
  <si>
    <t>Programa educativo, nivel y modalidad</t>
  </si>
  <si>
    <t>Dim_Periodo</t>
  </si>
  <si>
    <t>Año, semestre y fechas del periodo</t>
  </si>
  <si>
    <t>Relaciones: cada dimensión se conecta con Hechos_Calificaciones mediante su llave (uno a muchos, 1:*; filtro de la dimensión hacia los hechos).</t>
  </si>
  <si>
    <t>Estado_Aprobacion = "Aprobado" si calificacion_final &gt;= 70, de lo contrario "Reprobado" (umbral de 70 asumido; ajustar si la universidad usa otro).</t>
  </si>
  <si>
    <t>D003</t>
  </si>
  <si>
    <t>Juan Mendoza</t>
  </si>
  <si>
    <t>Doctorado</t>
  </si>
  <si>
    <t>Estado_Aprobacion</t>
  </si>
  <si>
    <t>H001</t>
  </si>
  <si>
    <t>H002</t>
  </si>
  <si>
    <t>H003</t>
  </si>
  <si>
    <t>H004</t>
  </si>
  <si>
    <t>H005</t>
  </si>
  <si>
    <t>se generó una llave sustituta (id_hecho) para identificar cada registro de la tabla de hechos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</si>
</sst>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/yyyy"/>
  </numFmts>
  <fonts count="7">
    <font>
      <sz val="11.0"/>
      <color theme="1"/>
      <name val="Calibri"/>
      <scheme val="minor"/>
    </font>
    <font>
      <b/>
      <sz val="14.0"/>
      <color theme="1"/>
      <name val="Arial"/>
    </font>
    <font>
      <color theme="1"/>
      <name val="Arial"/>
    </font>
    <font>
      <b/>
      <sz val="11.0"/>
      <color rgb="FFFFFFFF"/>
      <name val="Arial"/>
    </font>
    <font>
      <sz val="11.0"/>
      <color theme="1"/>
      <name val="Arial"/>
    </font>
    <font>
      <b/>
      <sz val="11.0"/>
      <color theme="1"/>
      <name val="Arial"/>
    </font>
    <font>
      <color theme="1"/>
      <name val="Calibri"/>
      <scheme val="minor"/>
    </font>
  </fonts>
  <fills count="15">
    <fill>
      <patternFill patternType="none"/>
    </fill>
    <fill>
      <patternFill patternType="lightGray"/>
    </fill>
    <fill>
      <patternFill patternType="solid">
        <fgColor rgb="FF548235"/>
        <bgColor rgb="FF548235"/>
      </patternFill>
    </fill>
    <fill>
      <patternFill patternType="solid">
        <fgColor rgb="FF2E75B6"/>
        <bgColor rgb="FF2E75B6"/>
      </patternFill>
    </fill>
    <fill>
      <patternFill patternType="solid">
        <fgColor rgb="FF404040"/>
        <bgColor rgb="FF404040"/>
      </patternFill>
    </fill>
    <fill>
      <patternFill patternType="solid">
        <fgColor rgb="FFDDEBF7"/>
        <bgColor rgb="FFDDEBF7"/>
      </patternFill>
    </fill>
    <fill>
      <patternFill patternType="solid">
        <fgColor rgb="FFE2EFDA"/>
        <bgColor rgb="FFE2EFDA"/>
      </patternFill>
    </fill>
    <fill>
      <patternFill patternType="solid">
        <fgColor rgb="FFC00000"/>
        <bgColor rgb="FFC00000"/>
      </patternFill>
    </fill>
    <fill>
      <patternFill patternType="solid">
        <fgColor rgb="FF7030A0"/>
        <bgColor rgb="FF7030A0"/>
      </patternFill>
    </fill>
    <fill>
      <patternFill patternType="solid">
        <fgColor rgb="FF00808A"/>
        <bgColor rgb="FF00808A"/>
      </patternFill>
    </fill>
    <fill>
      <patternFill patternType="solid">
        <fgColor rgb="FFBF8F00"/>
        <bgColor rgb="FFBF8F00"/>
      </patternFill>
    </fill>
    <fill>
      <patternFill patternType="solid">
        <fgColor rgb="FFE4DFEC"/>
        <bgColor rgb="FFE4DFEC"/>
      </patternFill>
    </fill>
    <fill>
      <patternFill patternType="solid">
        <fgColor rgb="FFD5EEF0"/>
        <bgColor rgb="FFD5EEF0"/>
      </patternFill>
    </fill>
    <fill>
      <patternFill patternType="solid">
        <fgColor rgb="FFFFF2CC"/>
        <bgColor rgb="FFFFF2CC"/>
      </patternFill>
    </fill>
    <fill>
      <patternFill patternType="solid">
        <fgColor rgb="FFF8CBAD"/>
        <bgColor rgb="FFF8CBAD"/>
      </patternFill>
    </fill>
  </fills>
  <borders count="3">
    <border/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  <border>
      <left/>
      <right/>
      <top/>
      <bottom/>
    </border>
  </borders>
  <cellStyleXfs count="1">
    <xf borderId="0" fillId="0" fontId="0" numFmtId="0" applyAlignment="1" applyFont="1"/>
  </cellStyleXfs>
  <cellXfs count="3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0"/>
    </xf>
    <xf borderId="0" fillId="0" fontId="2" numFmtId="0" xfId="0" applyAlignment="1" applyFont="1">
      <alignment vertical="bottom"/>
    </xf>
    <xf borderId="1" fillId="2" fontId="3" numFmtId="0" xfId="0" applyAlignment="1" applyBorder="1" applyFill="1" applyFont="1">
      <alignment horizontal="center" shrinkToFit="0" vertical="center" wrapText="0"/>
    </xf>
    <xf borderId="1" fillId="3" fontId="3" numFmtId="0" xfId="0" applyAlignment="1" applyBorder="1" applyFill="1" applyFont="1">
      <alignment horizontal="center" shrinkToFit="0" vertical="center" wrapText="0"/>
    </xf>
    <xf borderId="2" fillId="4" fontId="3" numFmtId="0" xfId="0" applyAlignment="1" applyBorder="1" applyFill="1" applyFont="1">
      <alignment shrinkToFit="0" vertical="bottom" wrapText="0"/>
    </xf>
    <xf borderId="1" fillId="5" fontId="4" numFmtId="0" xfId="0" applyAlignment="1" applyBorder="1" applyFill="1" applyFont="1">
      <alignment shrinkToFit="0" vertical="bottom" wrapText="0"/>
    </xf>
    <xf borderId="1" fillId="6" fontId="4" numFmtId="0" xfId="0" applyAlignment="1" applyBorder="1" applyFill="1" applyFont="1">
      <alignment shrinkToFit="0" vertical="bottom" wrapText="0"/>
    </xf>
    <xf borderId="1" fillId="0" fontId="5" numFmtId="0" xfId="0" applyAlignment="1" applyBorder="1" applyFont="1">
      <alignment shrinkToFit="0" vertical="bottom" wrapText="0"/>
    </xf>
    <xf borderId="1" fillId="0" fontId="4" numFmtId="0" xfId="0" applyAlignment="1" applyBorder="1" applyFont="1">
      <alignment shrinkToFit="0" vertical="bottom" wrapText="0"/>
    </xf>
    <xf borderId="0" fillId="0" fontId="2" numFmtId="0" xfId="0" applyAlignment="1" applyFont="1">
      <alignment horizontal="right" vertical="bottom"/>
    </xf>
    <xf borderId="1" fillId="7" fontId="4" numFmtId="0" xfId="0" applyAlignment="1" applyBorder="1" applyFill="1" applyFont="1">
      <alignment shrinkToFit="0" vertical="bottom" wrapText="0"/>
    </xf>
    <xf borderId="1" fillId="0" fontId="4" numFmtId="0" xfId="0" applyAlignment="1" applyBorder="1" applyFont="1">
      <alignment shrinkToFit="0" vertical="top" wrapText="1"/>
    </xf>
    <xf borderId="0" fillId="0" fontId="2" numFmtId="164" xfId="0" applyAlignment="1" applyFont="1" applyNumberFormat="1">
      <alignment horizontal="right" vertical="bottom"/>
    </xf>
    <xf borderId="1" fillId="3" fontId="4" numFmtId="0" xfId="0" applyAlignment="1" applyBorder="1" applyFill="1" applyFont="1">
      <alignment shrinkToFit="0" vertical="bottom" wrapText="0"/>
    </xf>
    <xf borderId="1" fillId="2" fontId="4" numFmtId="0" xfId="0" applyAlignment="1" applyBorder="1" applyFill="1" applyFont="1">
      <alignment shrinkToFit="0" vertical="bottom" wrapText="0"/>
    </xf>
    <xf borderId="1" fillId="8" fontId="4" numFmtId="0" xfId="0" applyAlignment="1" applyBorder="1" applyFill="1" applyFont="1">
      <alignment shrinkToFit="0" vertical="bottom" wrapText="0"/>
    </xf>
    <xf borderId="1" fillId="9" fontId="4" numFmtId="0" xfId="0" applyAlignment="1" applyBorder="1" applyFill="1" applyFont="1">
      <alignment shrinkToFit="0" vertical="bottom" wrapText="0"/>
    </xf>
    <xf borderId="1" fillId="10" fontId="4" numFmtId="0" xfId="0" applyAlignment="1" applyBorder="1" applyFill="1" applyFont="1">
      <alignment shrinkToFit="0" vertical="bottom" wrapText="0"/>
    </xf>
    <xf borderId="0" fillId="0" fontId="6" numFmtId="0" xfId="0" applyFont="1"/>
    <xf borderId="1" fillId="8" fontId="3" numFmtId="0" xfId="0" applyAlignment="1" applyBorder="1" applyFill="1" applyFont="1">
      <alignment horizontal="center" shrinkToFit="0" vertical="center" wrapText="0"/>
    </xf>
    <xf borderId="1" fillId="11" fontId="4" numFmtId="0" xfId="0" applyAlignment="1" applyBorder="1" applyFill="1" applyFont="1">
      <alignment shrinkToFit="0" vertical="bottom" wrapText="0"/>
    </xf>
    <xf borderId="1" fillId="9" fontId="3" numFmtId="0" xfId="0" applyAlignment="1" applyBorder="1" applyFill="1" applyFont="1">
      <alignment horizontal="center" shrinkToFit="0" vertical="center" wrapText="0"/>
    </xf>
    <xf borderId="1" fillId="12" fontId="4" numFmtId="0" xfId="0" applyAlignment="1" applyBorder="1" applyFill="1" applyFont="1">
      <alignment shrinkToFit="0" vertical="bottom" wrapText="0"/>
    </xf>
    <xf borderId="1" fillId="10" fontId="3" numFmtId="0" xfId="0" applyAlignment="1" applyBorder="1" applyFill="1" applyFont="1">
      <alignment horizontal="center" shrinkToFit="0" vertical="center" wrapText="0"/>
    </xf>
    <xf borderId="1" fillId="13" fontId="4" numFmtId="0" xfId="0" applyAlignment="1" applyBorder="1" applyFill="1" applyFont="1">
      <alignment shrinkToFit="0" vertical="bottom" wrapText="0"/>
    </xf>
    <xf borderId="1" fillId="13" fontId="4" numFmtId="164" xfId="0" applyAlignment="1" applyBorder="1" applyFill="1" applyFont="1" applyNumberFormat="1">
      <alignment shrinkToFit="0" vertical="bottom" wrapText="0"/>
    </xf>
    <xf borderId="1" fillId="7" fontId="3" numFmtId="0" xfId="0" applyAlignment="1" applyBorder="1" applyFill="1" applyFont="1">
      <alignment horizontal="center" shrinkToFit="0" vertical="center" wrapText="0"/>
    </xf>
    <xf borderId="1" fillId="14" fontId="4" numFmtId="0" xfId="0" applyAlignment="1" applyBorder="1" applyFill="1" applyFont="1">
      <alignment shrinkToFit="0" vertical="bottom" wrapText="0"/>
    </xf>
    <xf borderId="0" fillId="0" fontId="6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2" Type="http://schemas.openxmlformats.org/officeDocument/2006/relationships/worksheet" Target="worksheets/sheet8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2" t="s">
        <v>0</v>
      </c>
      <c r="B1" s="2" t="s">
        <v>3</v>
      </c>
      <c r="C1" s="2" t="s">
        <v>5</v>
      </c>
      <c r="D1" s="2" t="s">
        <v>7</v>
      </c>
      <c r="E1" s="2" t="s">
        <v>8</v>
      </c>
      <c r="F1" s="2" t="s">
        <v>10</v>
      </c>
      <c r="G1" s="2" t="s">
        <v>2</v>
      </c>
      <c r="H1" s="2" t="s">
        <v>6</v>
      </c>
      <c r="I1" s="2" t="s">
        <v>9</v>
      </c>
      <c r="J1" s="2" t="s">
        <v>11</v>
      </c>
      <c r="K1" s="2" t="s">
        <v>12</v>
      </c>
      <c r="L1" s="2" t="s">
        <v>13</v>
      </c>
      <c r="M1" s="2" t="s">
        <v>15</v>
      </c>
      <c r="N1" s="2" t="s">
        <v>16</v>
      </c>
      <c r="O1" s="2" t="s">
        <v>18</v>
      </c>
      <c r="P1" s="2" t="s">
        <v>20</v>
      </c>
      <c r="Q1" s="2" t="s">
        <v>33</v>
      </c>
      <c r="R1" s="2" t="s">
        <v>35</v>
      </c>
      <c r="S1" s="2" t="s">
        <v>36</v>
      </c>
      <c r="T1" s="2" t="s">
        <v>38</v>
      </c>
      <c r="U1" s="2" t="s">
        <v>43</v>
      </c>
      <c r="V1" s="2" t="s">
        <v>46</v>
      </c>
      <c r="W1" s="2" t="s">
        <v>49</v>
      </c>
      <c r="X1" s="2" t="s">
        <v>51</v>
      </c>
      <c r="Y1" s="2" t="s">
        <v>56</v>
      </c>
    </row>
    <row r="2">
      <c r="A2" s="2" t="s">
        <v>22</v>
      </c>
      <c r="B2" s="2" t="s">
        <v>23</v>
      </c>
      <c r="C2" s="2" t="s">
        <v>24</v>
      </c>
      <c r="D2" s="10">
        <v>19.0</v>
      </c>
      <c r="E2" s="2" t="s">
        <v>25</v>
      </c>
      <c r="F2" s="2" t="s">
        <v>26</v>
      </c>
      <c r="G2" s="2" t="s">
        <v>21</v>
      </c>
      <c r="H2" s="2" t="s">
        <v>37</v>
      </c>
      <c r="I2" s="2" t="s">
        <v>39</v>
      </c>
      <c r="J2" s="2" t="s">
        <v>41</v>
      </c>
      <c r="K2" s="2" t="s">
        <v>62</v>
      </c>
      <c r="L2" s="2" t="s">
        <v>63</v>
      </c>
      <c r="M2" s="2" t="s">
        <v>64</v>
      </c>
      <c r="N2" s="10">
        <v>10.0</v>
      </c>
      <c r="O2" s="2" t="s">
        <v>65</v>
      </c>
      <c r="P2" s="2" t="s">
        <v>66</v>
      </c>
      <c r="Q2" s="2" t="s">
        <v>67</v>
      </c>
      <c r="R2" s="2" t="s">
        <v>69</v>
      </c>
      <c r="S2" s="2" t="s">
        <v>70</v>
      </c>
      <c r="T2" s="10">
        <v>2021.0</v>
      </c>
      <c r="U2" s="10">
        <v>1.0</v>
      </c>
      <c r="V2" s="13">
        <v>44206.0</v>
      </c>
      <c r="W2" s="13">
        <v>44362.0</v>
      </c>
      <c r="X2" s="10">
        <v>85.0</v>
      </c>
      <c r="Y2" s="10">
        <v>90.0</v>
      </c>
    </row>
    <row r="3">
      <c r="A3" s="2" t="s">
        <v>27</v>
      </c>
      <c r="B3" s="2" t="s">
        <v>28</v>
      </c>
      <c r="C3" s="2" t="s">
        <v>29</v>
      </c>
      <c r="D3" s="10">
        <v>20.0</v>
      </c>
      <c r="E3" s="2" t="s">
        <v>30</v>
      </c>
      <c r="F3" s="2" t="s">
        <v>31</v>
      </c>
      <c r="G3" s="2" t="s">
        <v>45</v>
      </c>
      <c r="H3" s="2" t="s">
        <v>47</v>
      </c>
      <c r="I3" s="2" t="s">
        <v>48</v>
      </c>
      <c r="J3" s="2" t="s">
        <v>41</v>
      </c>
      <c r="K3" s="2" t="s">
        <v>75</v>
      </c>
      <c r="L3" s="2" t="s">
        <v>77</v>
      </c>
      <c r="M3" s="2" t="s">
        <v>67</v>
      </c>
      <c r="N3" s="10">
        <v>6.0</v>
      </c>
      <c r="O3" s="2" t="s">
        <v>65</v>
      </c>
      <c r="P3" s="2" t="s">
        <v>66</v>
      </c>
      <c r="Q3" s="2" t="s">
        <v>67</v>
      </c>
      <c r="R3" s="2" t="s">
        <v>69</v>
      </c>
      <c r="S3" s="2" t="s">
        <v>70</v>
      </c>
      <c r="T3" s="10">
        <v>2021.0</v>
      </c>
      <c r="U3" s="10">
        <v>1.0</v>
      </c>
      <c r="V3" s="13">
        <v>44206.0</v>
      </c>
      <c r="W3" s="13">
        <v>44362.0</v>
      </c>
      <c r="X3" s="10">
        <v>78.0</v>
      </c>
      <c r="Y3" s="10">
        <v>80.0</v>
      </c>
    </row>
    <row r="4">
      <c r="A4" s="2" t="s">
        <v>32</v>
      </c>
      <c r="B4" s="2" t="s">
        <v>34</v>
      </c>
      <c r="C4" s="2" t="s">
        <v>24</v>
      </c>
      <c r="D4" s="10">
        <v>21.0</v>
      </c>
      <c r="E4" s="2" t="s">
        <v>40</v>
      </c>
      <c r="F4" s="2" t="s">
        <v>42</v>
      </c>
      <c r="G4" s="2" t="s">
        <v>21</v>
      </c>
      <c r="H4" s="2" t="s">
        <v>37</v>
      </c>
      <c r="I4" s="2" t="s">
        <v>39</v>
      </c>
      <c r="J4" s="2" t="s">
        <v>41</v>
      </c>
      <c r="K4" s="2" t="s">
        <v>62</v>
      </c>
      <c r="L4" s="2" t="s">
        <v>63</v>
      </c>
      <c r="M4" s="2" t="s">
        <v>64</v>
      </c>
      <c r="N4" s="10">
        <v>10.0</v>
      </c>
      <c r="O4" s="2" t="s">
        <v>65</v>
      </c>
      <c r="P4" s="2" t="s">
        <v>66</v>
      </c>
      <c r="Q4" s="2" t="s">
        <v>67</v>
      </c>
      <c r="R4" s="2" t="s">
        <v>69</v>
      </c>
      <c r="S4" s="2" t="s">
        <v>70</v>
      </c>
      <c r="T4" s="10">
        <v>2021.0</v>
      </c>
      <c r="U4" s="10">
        <v>1.0</v>
      </c>
      <c r="V4" s="13">
        <v>44206.0</v>
      </c>
      <c r="W4" s="13">
        <v>44362.0</v>
      </c>
      <c r="X4" s="10">
        <v>92.0</v>
      </c>
      <c r="Y4" s="10">
        <v>95.0</v>
      </c>
    </row>
    <row r="5">
      <c r="A5" s="2" t="s">
        <v>22</v>
      </c>
      <c r="B5" s="2" t="s">
        <v>23</v>
      </c>
      <c r="C5" s="2" t="s">
        <v>24</v>
      </c>
      <c r="D5" s="10">
        <v>19.0</v>
      </c>
      <c r="E5" s="2" t="s">
        <v>25</v>
      </c>
      <c r="F5" s="2" t="s">
        <v>26</v>
      </c>
      <c r="G5" s="2" t="s">
        <v>45</v>
      </c>
      <c r="H5" s="2" t="s">
        <v>47</v>
      </c>
      <c r="I5" s="2" t="s">
        <v>48</v>
      </c>
      <c r="J5" s="2" t="s">
        <v>41</v>
      </c>
      <c r="K5" s="2" t="s">
        <v>75</v>
      </c>
      <c r="L5" s="2" t="s">
        <v>77</v>
      </c>
      <c r="M5" s="2" t="s">
        <v>67</v>
      </c>
      <c r="N5" s="10">
        <v>6.0</v>
      </c>
      <c r="O5" s="2" t="s">
        <v>65</v>
      </c>
      <c r="P5" s="2" t="s">
        <v>66</v>
      </c>
      <c r="Q5" s="2" t="s">
        <v>67</v>
      </c>
      <c r="R5" s="2" t="s">
        <v>69</v>
      </c>
      <c r="S5" s="2" t="s">
        <v>70</v>
      </c>
      <c r="T5" s="10">
        <v>2021.0</v>
      </c>
      <c r="U5" s="10">
        <v>1.0</v>
      </c>
      <c r="V5" s="13">
        <v>44206.0</v>
      </c>
      <c r="W5" s="13">
        <v>44362.0</v>
      </c>
      <c r="X5" s="10">
        <v>88.0</v>
      </c>
      <c r="Y5" s="10">
        <v>85.0</v>
      </c>
    </row>
    <row r="6">
      <c r="A6" s="2" t="s">
        <v>50</v>
      </c>
      <c r="B6" s="2" t="s">
        <v>53</v>
      </c>
      <c r="C6" s="2" t="s">
        <v>29</v>
      </c>
      <c r="D6" s="10">
        <v>22.0</v>
      </c>
      <c r="E6" s="2" t="s">
        <v>58</v>
      </c>
      <c r="F6" s="2" t="s">
        <v>59</v>
      </c>
      <c r="G6" s="2" t="s">
        <v>52</v>
      </c>
      <c r="H6" s="2" t="s">
        <v>54</v>
      </c>
      <c r="I6" s="2" t="s">
        <v>55</v>
      </c>
      <c r="J6" s="2" t="s">
        <v>41</v>
      </c>
      <c r="K6" s="2" t="s">
        <v>86</v>
      </c>
      <c r="L6" s="2" t="s">
        <v>87</v>
      </c>
      <c r="M6" s="2" t="s">
        <v>88</v>
      </c>
      <c r="N6" s="10">
        <v>15.0</v>
      </c>
      <c r="O6" s="2" t="s">
        <v>65</v>
      </c>
      <c r="P6" s="2" t="s">
        <v>66</v>
      </c>
      <c r="Q6" s="2" t="s">
        <v>67</v>
      </c>
      <c r="R6" s="2" t="s">
        <v>69</v>
      </c>
      <c r="S6" s="2" t="s">
        <v>70</v>
      </c>
      <c r="T6" s="10">
        <v>2021.0</v>
      </c>
      <c r="U6" s="10">
        <v>1.0</v>
      </c>
      <c r="V6" s="13">
        <v>44206.0</v>
      </c>
      <c r="W6" s="13">
        <v>44362.0</v>
      </c>
      <c r="X6" s="10">
        <v>65.0</v>
      </c>
      <c r="Y6" s="10">
        <v>70.0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04040"/>
    <pageSetUpPr/>
  </sheetPr>
  <sheetViews>
    <sheetView workbookViewId="0"/>
  </sheetViews>
  <sheetFormatPr customHeight="1" defaultColWidth="14.43" defaultRowHeight="15.0"/>
  <cols>
    <col customWidth="1" min="1" max="1" width="24.0"/>
    <col customWidth="1" min="2" max="2" width="18.0"/>
    <col customWidth="1" min="3" max="3" width="16.0"/>
    <col customWidth="1" min="4" max="4" width="10.0"/>
    <col customWidth="1" min="5" max="5" width="90.0"/>
    <col customWidth="1" min="6" max="26" width="8.71"/>
  </cols>
  <sheetData>
    <row r="1">
      <c r="A1" s="1" t="s">
        <v>1</v>
      </c>
    </row>
    <row r="3">
      <c r="A3" s="5" t="s">
        <v>4</v>
      </c>
      <c r="B3" s="5" t="s">
        <v>14</v>
      </c>
      <c r="C3" s="5" t="s">
        <v>17</v>
      </c>
      <c r="D3" s="5" t="s">
        <v>19</v>
      </c>
      <c r="E3" s="5" t="s">
        <v>44</v>
      </c>
    </row>
    <row r="4">
      <c r="A4" s="8" t="s">
        <v>57</v>
      </c>
      <c r="B4" s="9" t="s">
        <v>60</v>
      </c>
      <c r="C4" s="9" t="s">
        <v>61</v>
      </c>
      <c r="D4" s="11"/>
      <c r="E4" s="12" t="s">
        <v>68</v>
      </c>
    </row>
    <row r="5">
      <c r="A5" s="8" t="s">
        <v>71</v>
      </c>
      <c r="B5" s="9" t="s">
        <v>72</v>
      </c>
      <c r="C5" s="9" t="s">
        <v>0</v>
      </c>
      <c r="D5" s="14"/>
      <c r="E5" s="12" t="s">
        <v>73</v>
      </c>
    </row>
    <row r="6">
      <c r="A6" s="8" t="s">
        <v>74</v>
      </c>
      <c r="B6" s="9" t="s">
        <v>72</v>
      </c>
      <c r="C6" s="9" t="s">
        <v>2</v>
      </c>
      <c r="D6" s="15"/>
      <c r="E6" s="12" t="s">
        <v>76</v>
      </c>
    </row>
    <row r="7">
      <c r="A7" s="8" t="s">
        <v>78</v>
      </c>
      <c r="B7" s="9" t="s">
        <v>72</v>
      </c>
      <c r="C7" s="9" t="s">
        <v>12</v>
      </c>
      <c r="D7" s="16"/>
      <c r="E7" s="12" t="s">
        <v>79</v>
      </c>
    </row>
    <row r="8">
      <c r="A8" s="8" t="s">
        <v>80</v>
      </c>
      <c r="B8" s="9" t="s">
        <v>72</v>
      </c>
      <c r="C8" s="9" t="s">
        <v>18</v>
      </c>
      <c r="D8" s="17"/>
      <c r="E8" s="12" t="s">
        <v>81</v>
      </c>
    </row>
    <row r="9">
      <c r="A9" s="8" t="s">
        <v>82</v>
      </c>
      <c r="B9" s="9" t="s">
        <v>72</v>
      </c>
      <c r="C9" s="9" t="s">
        <v>36</v>
      </c>
      <c r="D9" s="18"/>
      <c r="E9" s="12" t="s">
        <v>83</v>
      </c>
    </row>
    <row r="11">
      <c r="A11" s="19" t="s">
        <v>84</v>
      </c>
    </row>
    <row r="12">
      <c r="A12" s="19" t="s">
        <v>85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2E75B6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7.0"/>
    <col customWidth="1" min="2" max="2" width="21.0"/>
    <col customWidth="1" min="3" max="5" width="14.0"/>
    <col customWidth="1" min="6" max="6" width="28.0"/>
    <col customWidth="1" min="7" max="26" width="8.71"/>
  </cols>
  <sheetData>
    <row r="1">
      <c r="A1" s="4" t="s">
        <v>0</v>
      </c>
      <c r="B1" s="4" t="s">
        <v>3</v>
      </c>
      <c r="C1" s="4" t="s">
        <v>5</v>
      </c>
      <c r="D1" s="4" t="s">
        <v>7</v>
      </c>
      <c r="E1" s="4" t="s">
        <v>8</v>
      </c>
      <c r="F1" s="4" t="s">
        <v>10</v>
      </c>
    </row>
    <row r="2">
      <c r="A2" s="6" t="s">
        <v>22</v>
      </c>
      <c r="B2" s="6" t="s">
        <v>23</v>
      </c>
      <c r="C2" s="6" t="s">
        <v>24</v>
      </c>
      <c r="D2" s="6">
        <v>19.0</v>
      </c>
      <c r="E2" s="6" t="s">
        <v>25</v>
      </c>
      <c r="F2" s="6" t="s">
        <v>26</v>
      </c>
    </row>
    <row r="3">
      <c r="A3" s="6" t="s">
        <v>27</v>
      </c>
      <c r="B3" s="6" t="s">
        <v>28</v>
      </c>
      <c r="C3" s="6" t="s">
        <v>29</v>
      </c>
      <c r="D3" s="6">
        <v>20.0</v>
      </c>
      <c r="E3" s="6" t="s">
        <v>30</v>
      </c>
      <c r="F3" s="6" t="s">
        <v>31</v>
      </c>
    </row>
    <row r="4">
      <c r="A4" s="6" t="s">
        <v>32</v>
      </c>
      <c r="B4" s="6" t="s">
        <v>34</v>
      </c>
      <c r="C4" s="6" t="s">
        <v>24</v>
      </c>
      <c r="D4" s="6">
        <v>21.0</v>
      </c>
      <c r="E4" s="6" t="s">
        <v>40</v>
      </c>
      <c r="F4" s="6" t="s">
        <v>42</v>
      </c>
    </row>
    <row r="5">
      <c r="A5" s="6" t="s">
        <v>50</v>
      </c>
      <c r="B5" s="6" t="s">
        <v>53</v>
      </c>
      <c r="C5" s="6" t="s">
        <v>29</v>
      </c>
      <c r="D5" s="6">
        <v>22.0</v>
      </c>
      <c r="E5" s="6" t="s">
        <v>58</v>
      </c>
      <c r="F5" s="6" t="s">
        <v>59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548235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4.0"/>
    <col customWidth="1" min="2" max="2" width="25.0"/>
    <col customWidth="1" min="3" max="3" width="21.0"/>
    <col customWidth="1" min="4" max="4" width="16.0"/>
    <col customWidth="1" min="5" max="26" width="8.71"/>
  </cols>
  <sheetData>
    <row r="1">
      <c r="A1" s="3" t="s">
        <v>2</v>
      </c>
      <c r="B1" s="3" t="s">
        <v>6</v>
      </c>
      <c r="C1" s="3" t="s">
        <v>9</v>
      </c>
      <c r="D1" s="3" t="s">
        <v>11</v>
      </c>
    </row>
    <row r="2">
      <c r="A2" s="7" t="s">
        <v>21</v>
      </c>
      <c r="B2" s="7" t="s">
        <v>37</v>
      </c>
      <c r="C2" s="7" t="s">
        <v>39</v>
      </c>
      <c r="D2" s="7" t="s">
        <v>41</v>
      </c>
    </row>
    <row r="3">
      <c r="A3" s="7" t="s">
        <v>45</v>
      </c>
      <c r="B3" s="7" t="s">
        <v>47</v>
      </c>
      <c r="C3" s="7" t="s">
        <v>48</v>
      </c>
      <c r="D3" s="7" t="s">
        <v>41</v>
      </c>
    </row>
    <row r="4">
      <c r="A4" s="7" t="s">
        <v>52</v>
      </c>
      <c r="B4" s="7" t="s">
        <v>54</v>
      </c>
      <c r="C4" s="7" t="s">
        <v>55</v>
      </c>
      <c r="D4" s="7" t="s">
        <v>41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7030A0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4.0"/>
    <col customWidth="1" min="2" max="2" width="18.0"/>
    <col customWidth="1" min="3" max="3" width="21.0"/>
    <col customWidth="1" min="4" max="4" width="22.0"/>
    <col customWidth="1" min="5" max="26" width="8.71"/>
  </cols>
  <sheetData>
    <row r="1">
      <c r="A1" s="20" t="s">
        <v>12</v>
      </c>
      <c r="B1" s="20" t="s">
        <v>13</v>
      </c>
      <c r="C1" s="20" t="s">
        <v>15</v>
      </c>
      <c r="D1" s="20" t="s">
        <v>16</v>
      </c>
    </row>
    <row r="2">
      <c r="A2" s="21" t="s">
        <v>62</v>
      </c>
      <c r="B2" s="21" t="s">
        <v>63</v>
      </c>
      <c r="C2" s="21" t="s">
        <v>64</v>
      </c>
      <c r="D2" s="21">
        <v>10.0</v>
      </c>
    </row>
    <row r="3">
      <c r="A3" s="21" t="s">
        <v>75</v>
      </c>
      <c r="B3" s="21" t="s">
        <v>77</v>
      </c>
      <c r="C3" s="21" t="s">
        <v>67</v>
      </c>
      <c r="D3" s="21">
        <v>6.0</v>
      </c>
    </row>
    <row r="4">
      <c r="A4" s="21" t="s">
        <v>86</v>
      </c>
      <c r="B4" s="21" t="s">
        <v>87</v>
      </c>
      <c r="C4" s="21" t="s">
        <v>88</v>
      </c>
      <c r="D4" s="21">
        <v>15.0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paperSize="9"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808A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5.0"/>
    <col customWidth="1" min="2" max="2" width="26.0"/>
    <col customWidth="1" min="3" max="3" width="18.0"/>
    <col customWidth="1" min="4" max="4" width="22.0"/>
    <col customWidth="1" min="5" max="26" width="8.71"/>
  </cols>
  <sheetData>
    <row r="1">
      <c r="A1" s="22" t="s">
        <v>18</v>
      </c>
      <c r="B1" s="22" t="s">
        <v>20</v>
      </c>
      <c r="C1" s="22" t="s">
        <v>33</v>
      </c>
      <c r="D1" s="22" t="s">
        <v>35</v>
      </c>
    </row>
    <row r="2">
      <c r="A2" s="23" t="s">
        <v>65</v>
      </c>
      <c r="B2" s="23" t="s">
        <v>66</v>
      </c>
      <c r="C2" s="23" t="s">
        <v>67</v>
      </c>
      <c r="D2" s="23" t="s">
        <v>69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paperSize="9"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F8F00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3" width="14.0"/>
    <col customWidth="1" min="4" max="5" width="23.0"/>
    <col customWidth="1" min="6" max="26" width="8.71"/>
  </cols>
  <sheetData>
    <row r="1">
      <c r="A1" s="24" t="s">
        <v>36</v>
      </c>
      <c r="B1" s="24" t="s">
        <v>38</v>
      </c>
      <c r="C1" s="24" t="s">
        <v>43</v>
      </c>
      <c r="D1" s="24" t="s">
        <v>46</v>
      </c>
      <c r="E1" s="24" t="s">
        <v>49</v>
      </c>
    </row>
    <row r="2">
      <c r="A2" s="25" t="s">
        <v>70</v>
      </c>
      <c r="B2" s="25">
        <v>2021.0</v>
      </c>
      <c r="C2" s="25">
        <v>1.0</v>
      </c>
      <c r="D2" s="26">
        <v>44206.0</v>
      </c>
      <c r="E2" s="26">
        <v>44362.0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paperSize="9" orientation="portrait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00000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4.0"/>
    <col customWidth="1" min="2" max="2" width="17.0"/>
    <col customWidth="1" min="3" max="4" width="14.0"/>
    <col customWidth="1" min="5" max="5" width="15.0"/>
    <col customWidth="1" min="6" max="6" width="14.0"/>
    <col customWidth="1" min="7" max="7" width="22.0"/>
    <col customWidth="1" min="8" max="8" width="18.0"/>
    <col customWidth="1" min="9" max="9" width="38.0"/>
    <col customWidth="1" min="10" max="26" width="8.71"/>
  </cols>
  <sheetData>
    <row r="1">
      <c r="A1" s="27" t="s">
        <v>61</v>
      </c>
      <c r="B1" s="27" t="s">
        <v>0</v>
      </c>
      <c r="C1" s="27" t="s">
        <v>2</v>
      </c>
      <c r="D1" s="27" t="s">
        <v>12</v>
      </c>
      <c r="E1" s="27" t="s">
        <v>18</v>
      </c>
      <c r="F1" s="27" t="s">
        <v>36</v>
      </c>
      <c r="G1" s="27" t="s">
        <v>51</v>
      </c>
      <c r="H1" s="27" t="s">
        <v>56</v>
      </c>
      <c r="I1" s="27" t="s">
        <v>89</v>
      </c>
    </row>
    <row r="2">
      <c r="A2" s="28" t="s">
        <v>90</v>
      </c>
      <c r="B2" s="28" t="s">
        <v>22</v>
      </c>
      <c r="C2" s="28" t="s">
        <v>21</v>
      </c>
      <c r="D2" s="28" t="s">
        <v>62</v>
      </c>
      <c r="E2" s="28" t="s">
        <v>65</v>
      </c>
      <c r="F2" s="28" t="s">
        <v>70</v>
      </c>
      <c r="G2" s="28">
        <v>85.0</v>
      </c>
      <c r="H2" s="28">
        <v>90.0</v>
      </c>
      <c r="I2" s="28" t="str">
        <f t="shared" ref="I2:I6" si="1">IF(G2&gt;=70,"Aprobado","Reprobado")</f>
        <v>Aprobado</v>
      </c>
    </row>
    <row r="3">
      <c r="A3" s="28" t="s">
        <v>91</v>
      </c>
      <c r="B3" s="28" t="s">
        <v>27</v>
      </c>
      <c r="C3" s="28" t="s">
        <v>45</v>
      </c>
      <c r="D3" s="28" t="s">
        <v>75</v>
      </c>
      <c r="E3" s="28" t="s">
        <v>65</v>
      </c>
      <c r="F3" s="28" t="s">
        <v>70</v>
      </c>
      <c r="G3" s="28">
        <v>78.0</v>
      </c>
      <c r="H3" s="28">
        <v>80.0</v>
      </c>
      <c r="I3" s="28" t="str">
        <f t="shared" si="1"/>
        <v>Aprobado</v>
      </c>
    </row>
    <row r="4">
      <c r="A4" s="28" t="s">
        <v>92</v>
      </c>
      <c r="B4" s="28" t="s">
        <v>32</v>
      </c>
      <c r="C4" s="28" t="s">
        <v>21</v>
      </c>
      <c r="D4" s="28" t="s">
        <v>62</v>
      </c>
      <c r="E4" s="28" t="s">
        <v>65</v>
      </c>
      <c r="F4" s="28" t="s">
        <v>70</v>
      </c>
      <c r="G4" s="28">
        <v>92.0</v>
      </c>
      <c r="H4" s="28">
        <v>95.0</v>
      </c>
      <c r="I4" s="28" t="str">
        <f t="shared" si="1"/>
        <v>Aprobado</v>
      </c>
    </row>
    <row r="5">
      <c r="A5" s="28" t="s">
        <v>93</v>
      </c>
      <c r="B5" s="28" t="s">
        <v>22</v>
      </c>
      <c r="C5" s="28" t="s">
        <v>45</v>
      </c>
      <c r="D5" s="28" t="s">
        <v>75</v>
      </c>
      <c r="E5" s="28" t="s">
        <v>65</v>
      </c>
      <c r="F5" s="28" t="s">
        <v>70</v>
      </c>
      <c r="G5" s="28">
        <v>88.0</v>
      </c>
      <c r="H5" s="28">
        <v>85.0</v>
      </c>
      <c r="I5" s="28" t="str">
        <f t="shared" si="1"/>
        <v>Aprobado</v>
      </c>
    </row>
    <row r="6">
      <c r="A6" s="28" t="s">
        <v>94</v>
      </c>
      <c r="B6" s="28" t="s">
        <v>50</v>
      </c>
      <c r="C6" s="28" t="s">
        <v>52</v>
      </c>
      <c r="D6" s="28" t="s">
        <v>86</v>
      </c>
      <c r="E6" s="28" t="s">
        <v>65</v>
      </c>
      <c r="F6" s="28" t="s">
        <v>70</v>
      </c>
      <c r="G6" s="28">
        <v>65.0</v>
      </c>
      <c r="H6" s="28">
        <v>70.0</v>
      </c>
      <c r="I6" s="28" t="str">
        <f t="shared" si="1"/>
        <v>Reprobado</v>
      </c>
    </row>
    <row r="8">
      <c r="A8" s="29" t="s">
        <v>95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paperSize="9" orientation="portrait"/>
  <drawing r:id="rId1"/>
</worksheet>
</file>